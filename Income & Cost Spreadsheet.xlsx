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rmywestpoint-my.sharepoint.com/personal/nathan_davis2_westpoint_edu/Documents/Documents/MY OWN WEBSITE!!!/"/>
    </mc:Choice>
  </mc:AlternateContent>
  <xr:revisionPtr revIDLastSave="1214" documentId="8_{6087132D-B281-4ECA-AD9E-C22E4686363E}" xr6:coauthVersionLast="47" xr6:coauthVersionMax="47" xr10:uidLastSave="{30A0D911-D74C-4AFD-B9F6-132A31FAD224}"/>
  <bookViews>
    <workbookView xWindow="-108" yWindow="-108" windowWidth="23256" windowHeight="12456" xr2:uid="{5016BA3E-3704-452A-B527-6130FB509E87}"/>
  </bookViews>
  <sheets>
    <sheet name="DASHBOARD" sheetId="1" r:id="rId1"/>
    <sheet name="MASTER 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32" i="1"/>
  <c r="G31" i="1"/>
  <c r="G30" i="1"/>
  <c r="G29" i="1"/>
  <c r="G27" i="1"/>
  <c r="G26" i="1"/>
  <c r="G25" i="1"/>
  <c r="G23" i="1"/>
  <c r="G22" i="1"/>
  <c r="G21" i="1"/>
  <c r="G20" i="1"/>
  <c r="G19" i="1"/>
  <c r="G17" i="1"/>
  <c r="G16" i="1"/>
  <c r="G15" i="1"/>
  <c r="G14" i="1"/>
  <c r="G13" i="1"/>
  <c r="G12" i="1"/>
  <c r="G11" i="1"/>
  <c r="G10" i="1"/>
  <c r="G9" i="1"/>
  <c r="G8" i="1"/>
  <c r="C3" i="1"/>
  <c r="E11" i="4"/>
  <c r="C16" i="1"/>
  <c r="C26" i="1"/>
  <c r="C25" i="1"/>
  <c r="C32" i="1"/>
  <c r="C27" i="1"/>
  <c r="C23" i="1"/>
  <c r="C17" i="1"/>
  <c r="C8" i="1"/>
  <c r="C4" i="1"/>
  <c r="C15" i="1"/>
  <c r="C31" i="1"/>
  <c r="C30" i="1"/>
  <c r="C29" i="1"/>
  <c r="C22" i="1"/>
  <c r="C21" i="1"/>
  <c r="C20" i="1"/>
  <c r="C19" i="1"/>
  <c r="C14" i="1"/>
  <c r="C13" i="1"/>
  <c r="C12" i="1"/>
  <c r="C11" i="1"/>
  <c r="C10" i="1"/>
  <c r="C9" i="1"/>
  <c r="C5" i="1" l="1"/>
  <c r="H28" i="1" s="1"/>
  <c r="G5" i="1"/>
  <c r="G33" i="1"/>
  <c r="C33" i="1"/>
  <c r="H15" i="1" l="1"/>
  <c r="H13" i="1"/>
  <c r="H22" i="1"/>
  <c r="H9" i="1"/>
  <c r="H17" i="1"/>
  <c r="H31" i="1"/>
  <c r="H25" i="1"/>
  <c r="H11" i="1"/>
  <c r="H16" i="1"/>
  <c r="H8" i="1"/>
  <c r="H30" i="1"/>
  <c r="H24" i="1"/>
  <c r="H12" i="1"/>
  <c r="H19" i="1"/>
  <c r="H26" i="1"/>
  <c r="H14" i="1"/>
  <c r="H29" i="1"/>
  <c r="H23" i="1"/>
  <c r="H33" i="1"/>
  <c r="H34" i="1" s="1"/>
  <c r="H32" i="1"/>
  <c r="H18" i="1"/>
  <c r="H20" i="1"/>
  <c r="H27" i="1"/>
  <c r="H10" i="1"/>
  <c r="H21" i="1"/>
  <c r="G34" i="1"/>
  <c r="D32" i="1"/>
  <c r="D16" i="1"/>
  <c r="D17" i="1"/>
  <c r="D27" i="1"/>
  <c r="D15" i="1"/>
  <c r="D11" i="1"/>
  <c r="D20" i="1"/>
  <c r="D22" i="1"/>
  <c r="D8" i="1"/>
  <c r="D21" i="1"/>
  <c r="D30" i="1"/>
  <c r="D18" i="1"/>
  <c r="D25" i="1"/>
  <c r="D9" i="1"/>
  <c r="D29" i="1"/>
  <c r="D12" i="1"/>
  <c r="D19" i="1"/>
  <c r="D13" i="1"/>
  <c r="D10" i="1"/>
  <c r="D14" i="1"/>
  <c r="D28" i="1"/>
  <c r="D26" i="1"/>
  <c r="D24" i="1"/>
  <c r="D23" i="1"/>
  <c r="D31" i="1"/>
  <c r="C34" i="1"/>
  <c r="D33" i="1"/>
  <c r="D34" i="1" s="1"/>
</calcChain>
</file>

<file path=xl/sharedStrings.xml><?xml version="1.0" encoding="utf-8"?>
<sst xmlns="http://schemas.openxmlformats.org/spreadsheetml/2006/main" count="156" uniqueCount="76">
  <si>
    <t>Expenses</t>
  </si>
  <si>
    <t>JANUARY</t>
  </si>
  <si>
    <t>Percentage</t>
  </si>
  <si>
    <t>HOUSING</t>
  </si>
  <si>
    <t>Property Taxes</t>
  </si>
  <si>
    <t>Mortgage/Rent</t>
  </si>
  <si>
    <t>Electricity</t>
  </si>
  <si>
    <t>Water</t>
  </si>
  <si>
    <t>Insurance</t>
  </si>
  <si>
    <t>Internet</t>
  </si>
  <si>
    <t>TV Subscriptions</t>
  </si>
  <si>
    <t>Furniture</t>
  </si>
  <si>
    <t>TRANSPORTATION</t>
  </si>
  <si>
    <t>Car Payment</t>
  </si>
  <si>
    <t>Car Insurance</t>
  </si>
  <si>
    <t>Gas</t>
  </si>
  <si>
    <t>Maintenance</t>
  </si>
  <si>
    <t>FOOD</t>
  </si>
  <si>
    <t>Groceries</t>
  </si>
  <si>
    <t>iPhone</t>
  </si>
  <si>
    <t>Total Purchasing Power:</t>
  </si>
  <si>
    <t>Eating out</t>
  </si>
  <si>
    <t>FIXED COSTS</t>
  </si>
  <si>
    <t xml:space="preserve">Cow Loan </t>
  </si>
  <si>
    <t>Roth IRA</t>
  </si>
  <si>
    <t>Charles Schwab</t>
  </si>
  <si>
    <t xml:space="preserve">Total </t>
  </si>
  <si>
    <t>REMAINING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</si>
  <si>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</si>
  <si>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</si>
  <si>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</si>
  <si>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</si>
  <si>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</si>
  <si>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</si>
  <si>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</si>
  <si>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</si>
  <si>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</si>
  <si>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</si>
  <si>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</si>
  <si>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</si>
  <si>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Category</t>
  </si>
  <si>
    <t>Subcategory</t>
  </si>
  <si>
    <t>INCOME</t>
  </si>
  <si>
    <t>Cost</t>
  </si>
  <si>
    <t>Earned Income (PC#1):</t>
  </si>
  <si>
    <t>Earned Income (PC#2):</t>
  </si>
  <si>
    <t>Paycheck 1</t>
  </si>
  <si>
    <t>Paycheck 2</t>
  </si>
  <si>
    <t>Eating Out</t>
  </si>
  <si>
    <t>Cow Loan</t>
  </si>
  <si>
    <t>COST (Enter manually here)</t>
  </si>
  <si>
    <t>BAH 1</t>
  </si>
  <si>
    <t>BAH 2</t>
  </si>
  <si>
    <t>BAH 2:</t>
  </si>
  <si>
    <t>BAH 1:</t>
  </si>
  <si>
    <t>Other Transportation</t>
  </si>
  <si>
    <t>Other Housing</t>
  </si>
  <si>
    <t>Other Food</t>
  </si>
  <si>
    <t>Description</t>
  </si>
  <si>
    <t>Other Misc Costs</t>
  </si>
  <si>
    <t>MISCELLANEOUS</t>
  </si>
  <si>
    <t>Clothing</t>
  </si>
  <si>
    <r>
      <rPr>
        <b/>
        <sz val="14"/>
        <color theme="1"/>
        <rFont val="Aptos Narrow"/>
        <family val="2"/>
        <scheme val="minor"/>
      </rPr>
      <t xml:space="preserve">Naming conventions </t>
    </r>
    <r>
      <rPr>
        <b/>
        <sz val="16"/>
        <color theme="1"/>
        <rFont val="Aptos Narrow"/>
        <family val="2"/>
        <scheme val="minor"/>
      </rPr>
      <t xml:space="preserve">          </t>
    </r>
    <r>
      <rPr>
        <sz val="11"/>
        <color theme="1"/>
        <rFont val="Aptos Narrow"/>
        <family val="2"/>
        <scheme val="minor"/>
      </rPr>
      <t xml:space="preserve">                                                                                    </t>
    </r>
    <r>
      <rPr>
        <sz val="9"/>
        <color theme="1"/>
        <rFont val="Aptos Narrow"/>
        <family val="2"/>
        <scheme val="minor"/>
      </rPr>
      <t>(updated 26FEB2026)</t>
    </r>
  </si>
  <si>
    <t>Ideas for the dashboard</t>
  </si>
  <si>
    <t>What is my leftover purchasing power?</t>
  </si>
  <si>
    <t>Projected End-of-Month Balance</t>
  </si>
  <si>
    <t>How much I can spend per day after costs?</t>
  </si>
  <si>
    <t>Money Sent to Emergency Fund</t>
  </si>
  <si>
    <t>&lt;&lt;this could be a certain percentage of leftover purchasing power</t>
  </si>
  <si>
    <t xml:space="preserve">&lt;&lt;this refers to growth/decline. Conditionally format it so that negative is red and positive percentage is green. Use in master data tab. </t>
  </si>
  <si>
    <t>Charles Schwab Account last month</t>
  </si>
  <si>
    <t>Total saved this month</t>
  </si>
  <si>
    <t>&lt;&lt;whatever is left of remaining purchasing power after all allotments</t>
  </si>
  <si>
    <t>PAYCHECK 1</t>
  </si>
  <si>
    <t>PAYCHECK 2</t>
  </si>
  <si>
    <t>Hello!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</si>
</sst>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 applyAlignment="1">
      <alignment horizontal="center"/>
    </xf>
    <xf numFmtId="44" fontId="0" fillId="0" borderId="2" xfId="1" applyFont="1" applyBorder="1" applyAlignment="1">
      <alignment vertical="center"/>
    </xf>
    <xf numFmtId="0" fontId="0" fillId="0" borderId="7" xfId="0" applyBorder="1" applyAlignment="1">
      <alignment horizontal="center"/>
    </xf>
    <xf numFmtId="0" fontId="0" fillId="2" borderId="6" xfId="0" applyFill="1" applyBorder="1"/>
    <xf numFmtId="44" fontId="0" fillId="0" borderId="4" xfId="1" applyFont="1" applyBorder="1" applyAlignment="1">
      <alignment vertical="center"/>
    </xf>
    <xf numFmtId="44" fontId="0" fillId="3" borderId="8" xfId="1" applyFont="1" applyFill="1" applyBorder="1" applyAlignment="1">
      <alignment vertical="center"/>
    </xf>
    <xf numFmtId="0" fontId="4" fillId="0" borderId="2" xfId="0" applyFont="1" applyBorder="1"/>
    <xf numFmtId="44" fontId="0" fillId="3" borderId="3" xfId="1" applyFont="1" applyFill="1" applyBorder="1" applyAlignment="1">
      <alignment vertical="center"/>
    </xf>
    <xf numFmtId="0" fontId="0" fillId="5" borderId="6" xfId="0" applyFill="1" applyBorder="1"/>
    <xf numFmtId="44" fontId="0" fillId="5" borderId="1" xfId="0" applyNumberFormat="1" applyFill="1" applyBorder="1"/>
    <xf numFmtId="0" fontId="0" fillId="6" borderId="6" xfId="0" applyFill="1" applyBorder="1"/>
    <xf numFmtId="44" fontId="3" fillId="6" borderId="6" xfId="0" applyNumberFormat="1" applyFont="1" applyFill="1" applyBorder="1"/>
    <xf numFmtId="0" fontId="4" fillId="0" borderId="1" xfId="0" applyFont="1" applyBorder="1"/>
    <xf numFmtId="0" fontId="4" fillId="0" borderId="3" xfId="0" applyFont="1" applyBorder="1"/>
    <xf numFmtId="0" fontId="0" fillId="3" borderId="0" xfId="0" applyFill="1"/>
    <xf numFmtId="0" fontId="0" fillId="3" borderId="5" xfId="0" applyFill="1" applyBorder="1"/>
    <xf numFmtId="0" fontId="0" fillId="0" borderId="9" xfId="0" applyBorder="1"/>
    <xf numFmtId="44" fontId="0" fillId="0" borderId="0" xfId="1" applyFont="1" applyBorder="1"/>
    <xf numFmtId="2" fontId="0" fillId="0" borderId="5" xfId="0" applyNumberFormat="1" applyBorder="1"/>
    <xf numFmtId="2" fontId="0" fillId="3" borderId="5" xfId="0" applyNumberFormat="1" applyFill="1" applyBorder="1"/>
    <xf numFmtId="44" fontId="0" fillId="3" borderId="0" xfId="1" applyFont="1" applyFill="1" applyBorder="1"/>
    <xf numFmtId="2" fontId="0" fillId="5" borderId="6" xfId="0" applyNumberFormat="1" applyFill="1" applyBorder="1"/>
    <xf numFmtId="2" fontId="3" fillId="6" borderId="8" xfId="0" applyNumberFormat="1" applyFont="1" applyFill="1" applyBorder="1"/>
    <xf numFmtId="0" fontId="3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0" xfId="0" applyFont="1"/>
    <xf numFmtId="0" fontId="0" fillId="0" borderId="15" xfId="0" applyBorder="1" applyAlignment="1">
      <alignment horizontal="center" vertical="center" wrapText="1"/>
    </xf>
    <xf numFmtId="44" fontId="0" fillId="0" borderId="19" xfId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4" fontId="0" fillId="0" borderId="19" xfId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4" fontId="0" fillId="0" borderId="21" xfId="1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44" fontId="6" fillId="0" borderId="21" xfId="1" applyFont="1" applyBorder="1" applyAlignment="1">
      <alignment horizontal="center" vertical="center"/>
    </xf>
    <xf numFmtId="44" fontId="0" fillId="0" borderId="18" xfId="1" applyFont="1" applyBorder="1" applyAlignment="1">
      <alignment horizontal="center" vertical="center"/>
    </xf>
    <xf numFmtId="16" fontId="0" fillId="0" borderId="19" xfId="0" applyNumberFormat="1" applyBorder="1" applyAlignment="1">
      <alignment horizontal="center" vertical="center" wrapText="1"/>
    </xf>
    <xf numFmtId="16" fontId="0" fillId="0" borderId="19" xfId="0" applyNumberFormat="1" applyBorder="1" applyAlignment="1">
      <alignment horizontal="center" vertical="center"/>
    </xf>
    <xf numFmtId="16" fontId="0" fillId="0" borderId="21" xfId="0" applyNumberFormat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/>
    <xf numFmtId="0" fontId="2" fillId="0" borderId="4" xfId="0" applyFont="1" applyBorder="1"/>
    <xf numFmtId="0" fontId="10" fillId="8" borderId="1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2">
    <dxf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00"/>
      <color rgb="FFEFA2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DD88F-02C6-4D42-809D-98045D571AF7}" name="FinanceData" displayName="FinanceData" ref="A2:E51" totalsRowShown="0" headerRowDxfId="11" dataDxfId="9" headerRowBorderDxfId="10" tableBorderDxfId="8" totalsRowBorderDxfId="7">
  <autoFilter ref="A2:E51" xr:uid="{44CDD88F-02C6-4D42-809D-98045D571AF7}"/>
  <tableColumns count="5">
    <tableColumn id="1" xr3:uid="{85BCECAD-3C8F-462D-B514-B758E78941CC}" name="Month" dataDxfId="6"/>
    <tableColumn id="2" xr3:uid="{B2B0ABB5-0019-4ED9-BE43-219C89CFFEB2}" name="Category" dataDxfId="5"/>
    <tableColumn id="3" xr3:uid="{53A39C36-651D-4F16-BDDD-F18CC9207A04}" name="Subcategory" dataDxfId="4"/>
    <tableColumn id="8" xr3:uid="{DD3B0342-4844-45F1-B4DD-4DFF5870AD43}" name="Description" dataDxfId="3"/>
    <tableColumn id="5" xr3:uid="{01769327-8652-4DAF-8E46-1B4F9C8FBA9D}" name="COST (Enter manually here)" dataDxfId="2" dataCellStyle="Currency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0D23-1EFA-4295-B03D-1823936C10C4}">
  <dimension ref="B1:K34"/>
  <sheetViews>
    <sheetView tabSelected="1" zoomScale="75" zoomScaleNormal="80" workbookViewId="0">
      <selection activeCell="L10" sqref="L10"/>
    </sheetView>
  </sheetViews>
  <sheetFormatPr defaultRowHeight="14.4" x14ac:dyDescent="0.3"/>
  <cols>
    <col min="1" max="1" width="5.6640625" customWidth="1"/>
    <col min="2" max="2" width="23.6640625" customWidth="1"/>
    <col min="3" max="3" width="10.5546875" customWidth="1"/>
    <col min="4" max="4" width="12.109375" customWidth="1"/>
    <col min="5" max="5" width="12" customWidth="1"/>
    <col min="6" max="6" width="23.6640625" customWidth="1"/>
    <col min="7" max="7" width="11.109375" customWidth="1"/>
    <col min="8" max="8" width="10.109375" customWidth="1"/>
    <col min="9" max="9" width="11" customWidth="1"/>
    <col min="10" max="10" width="38.5546875" customWidth="1"/>
    <col min="11" max="11" width="8.88671875" customWidth="1"/>
    <col min="12" max="12" width="20.88671875" customWidth="1"/>
    <col min="13" max="13" width="19.44140625" customWidth="1"/>
    <col min="14" max="14" width="12.5546875" bestFit="1" customWidth="1"/>
    <col min="15" max="15" width="11.21875" customWidth="1"/>
    <col min="17" max="17" width="22.6640625" customWidth="1"/>
    <col min="18" max="18" width="11.5546875" customWidth="1"/>
    <col min="19" max="19" width="12.5546875" bestFit="1" customWidth="1"/>
    <col min="20" max="20" width="12.6640625" customWidth="1"/>
    <col min="22" max="22" width="22" customWidth="1"/>
    <col min="23" max="23" width="11.6640625" customWidth="1"/>
    <col min="24" max="24" width="12.5546875" bestFit="1" customWidth="1"/>
    <col min="25" max="25" width="14.21875" customWidth="1"/>
    <col min="27" max="27" width="22.5546875" customWidth="1"/>
    <col min="28" max="28" width="12.77734375" customWidth="1"/>
    <col min="29" max="29" width="12.5546875" bestFit="1" customWidth="1"/>
    <col min="30" max="30" width="12.33203125" customWidth="1"/>
    <col min="32" max="32" width="21.33203125" customWidth="1"/>
    <col min="33" max="33" width="12.88671875" customWidth="1"/>
    <col min="34" max="34" width="12.5546875" bestFit="1" customWidth="1"/>
    <col min="35" max="35" width="13.109375" customWidth="1"/>
    <col min="37" max="37" width="23" customWidth="1"/>
    <col min="38" max="38" width="12.77734375" customWidth="1"/>
    <col min="39" max="39" width="10.33203125" customWidth="1"/>
    <col min="40" max="40" width="12" customWidth="1"/>
    <col min="42" max="42" width="22" customWidth="1"/>
    <col min="43" max="43" width="13" customWidth="1"/>
    <col min="44" max="44" width="11.21875" customWidth="1"/>
    <col min="45" max="45" width="12.6640625" customWidth="1"/>
    <col min="47" max="47" width="21.21875" customWidth="1"/>
    <col min="48" max="48" width="13.44140625" customWidth="1"/>
    <col min="49" max="49" width="11.21875" customWidth="1"/>
    <col min="50" max="50" width="12.44140625" customWidth="1"/>
  </cols>
  <sheetData>
    <row r="1" spans="2:11" ht="24" thickBot="1" x14ac:dyDescent="0.5">
      <c r="B1" s="54" t="s">
        <v>73</v>
      </c>
      <c r="C1" s="55"/>
      <c r="D1" s="56"/>
      <c r="F1" s="54" t="s">
        <v>74</v>
      </c>
      <c r="G1" s="55"/>
      <c r="H1" s="56"/>
    </row>
    <row r="2" spans="2:11" ht="15" thickBot="1" x14ac:dyDescent="0.35">
      <c r="B2" s="57" t="s">
        <v>1</v>
      </c>
      <c r="C2" s="58"/>
      <c r="D2" s="59"/>
      <c r="F2" s="57" t="s">
        <v>1</v>
      </c>
      <c r="G2" s="58"/>
      <c r="H2" s="59"/>
      <c r="J2" s="53" t="s">
        <v>63</v>
      </c>
    </row>
    <row r="3" spans="2:11" ht="15" thickBot="1" x14ac:dyDescent="0.35">
      <c r="B3" s="3" t="s">
        <v>44</v>
      </c>
      <c r="C3" s="5">
        <f>SUMIFS(FinanceData[COST (Enter manually here)],FinanceData[Month],$B$2,FinanceData[Subcategory],"Paycheck 1")</f>
        <v>0</v>
      </c>
      <c r="D3" s="6"/>
      <c r="F3" s="3" t="s">
        <v>45</v>
      </c>
      <c r="G3" s="5">
        <f>SUMIFS(FinanceData[COST (Enter manually here)],FinanceData[Month],$B$2,FinanceData[Subcategory],"Paycheck 2")</f>
        <v>0</v>
      </c>
      <c r="H3" s="6"/>
    </row>
    <row r="4" spans="2:11" ht="15" thickBot="1" x14ac:dyDescent="0.35">
      <c r="B4" s="1" t="s">
        <v>54</v>
      </c>
      <c r="C4" s="2">
        <f>SUMIFS(FinanceData[COST (Enter manually here)],FinanceData[Month],$B$2,FinanceData[Subcategory],"BAH 1")</f>
        <v>0</v>
      </c>
      <c r="D4" s="8"/>
      <c r="F4" s="1" t="s">
        <v>53</v>
      </c>
      <c r="G4" s="2">
        <f>SUMIFS(FinanceData[COST (Enter manually here)],FinanceData[Month],$B$2,FinanceData[Subcategory],"BAH 2")</f>
        <v>0</v>
      </c>
      <c r="H4" s="8"/>
      <c r="I4">
        <v>1</v>
      </c>
      <c r="J4" t="s">
        <v>64</v>
      </c>
    </row>
    <row r="5" spans="2:11" ht="15" thickBot="1" x14ac:dyDescent="0.35">
      <c r="B5" s="1" t="s">
        <v>20</v>
      </c>
      <c r="C5" s="2">
        <f>C3+C4</f>
        <v>0</v>
      </c>
      <c r="D5" s="8"/>
      <c r="F5" s="1" t="s">
        <v>20</v>
      </c>
      <c r="G5" s="2">
        <f>G3+G4</f>
        <v>0</v>
      </c>
      <c r="H5" s="8"/>
      <c r="I5">
        <v>2</v>
      </c>
      <c r="J5" t="s">
        <v>66</v>
      </c>
    </row>
    <row r="6" spans="2:11" ht="15" thickBot="1" x14ac:dyDescent="0.35">
      <c r="B6" s="13" t="s">
        <v>0</v>
      </c>
      <c r="C6" s="7" t="s">
        <v>43</v>
      </c>
      <c r="D6" s="14" t="s">
        <v>2</v>
      </c>
      <c r="F6" s="13" t="s">
        <v>0</v>
      </c>
      <c r="G6" s="7" t="s">
        <v>43</v>
      </c>
      <c r="H6" s="14" t="s">
        <v>2</v>
      </c>
      <c r="I6">
        <v>3</v>
      </c>
      <c r="J6" t="s">
        <v>65</v>
      </c>
    </row>
    <row r="7" spans="2:11" ht="15" thickBot="1" x14ac:dyDescent="0.35">
      <c r="B7" s="4" t="s">
        <v>3</v>
      </c>
      <c r="C7" s="15"/>
      <c r="D7" s="16"/>
      <c r="F7" s="4" t="s">
        <v>3</v>
      </c>
      <c r="G7" s="15"/>
      <c r="H7" s="16"/>
      <c r="I7">
        <v>4</v>
      </c>
      <c r="J7" t="s">
        <v>67</v>
      </c>
      <c r="K7" t="s">
        <v>68</v>
      </c>
    </row>
    <row r="8" spans="2:11" x14ac:dyDescent="0.3">
      <c r="B8" s="17" t="s">
        <v>5</v>
      </c>
      <c r="C8" s="18">
        <f>SUMIFS(FinanceData[COST (Enter manually here)],FinanceData[Month],$B$2,FinanceData[Subcategory],"Mortgage/Rent")</f>
        <v>0</v>
      </c>
      <c r="D8" s="19" t="e">
        <f t="shared" ref="D8:D17" si="0">C8/$C$5*100</f>
        <v>#DIV/0!</v>
      </c>
      <c r="F8" s="17" t="s">
        <v>5</v>
      </c>
      <c r="G8" s="18">
        <f>SUMIFS(FinanceData[COST (Enter manually here)],FinanceData[Month],$B$2,FinanceData[Subcategory],"Mortgage/Rent")</f>
        <v>0</v>
      </c>
      <c r="H8" s="19" t="e">
        <f t="shared" ref="H8:H17" si="1">G8/$C$5*100</f>
        <v>#DIV/0!</v>
      </c>
      <c r="I8">
        <v>5</v>
      </c>
      <c r="J8" s="52" t="s">
        <v>70</v>
      </c>
      <c r="K8" t="s">
        <v>69</v>
      </c>
    </row>
    <row r="9" spans="2:11" x14ac:dyDescent="0.3">
      <c r="B9" s="17" t="s">
        <v>6</v>
      </c>
      <c r="C9" s="18">
        <f>SUMIFS(FinanceData[COST (Enter manually here)],FinanceData[Month],$B$2,FinanceData[Subcategory],"Electricity")</f>
        <v>0</v>
      </c>
      <c r="D9" s="19" t="e">
        <f t="shared" si="0"/>
        <v>#DIV/0!</v>
      </c>
      <c r="F9" s="17" t="s">
        <v>6</v>
      </c>
      <c r="G9" s="18">
        <f>SUMIFS(FinanceData[COST (Enter manually here)],FinanceData[Month],$B$2,FinanceData[Subcategory],"Electricity")</f>
        <v>0</v>
      </c>
      <c r="H9" s="19" t="e">
        <f t="shared" si="1"/>
        <v>#DIV/0!</v>
      </c>
      <c r="I9">
        <v>6</v>
      </c>
      <c r="J9" t="s">
        <v>71</v>
      </c>
      <c r="K9" t="s">
        <v>72</v>
      </c>
    </row>
    <row r="10" spans="2:11" x14ac:dyDescent="0.3">
      <c r="B10" s="17" t="s">
        <v>7</v>
      </c>
      <c r="C10" s="18">
        <f>SUMIFS(FinanceData[COST (Enter manually here)],FinanceData[Month],$B$2,FinanceData[Subcategory],"Water")</f>
        <v>0</v>
      </c>
      <c r="D10" s="19" t="e">
        <f t="shared" si="0"/>
        <v>#DIV/0!</v>
      </c>
      <c r="F10" s="17" t="s">
        <v>7</v>
      </c>
      <c r="G10" s="18">
        <f>SUMIFS(FinanceData[COST (Enter manually here)],FinanceData[Month],$B$2,FinanceData[Subcategory],"Water")</f>
        <v>0</v>
      </c>
      <c r="H10" s="19" t="e">
        <f t="shared" si="1"/>
        <v>#DIV/0!</v>
      </c>
      <c r="I10">
        <v>7</v>
      </c>
      <c r="J10" t="s">
        <v>75</v>
      </c>
    </row>
    <row r="11" spans="2:11" x14ac:dyDescent="0.3">
      <c r="B11" s="17" t="s">
        <v>8</v>
      </c>
      <c r="C11" s="18">
        <f>SUMIFS(FinanceData[COST (Enter manually here)],FinanceData[Month],$B$2,FinanceData[Subcategory],"Insurance")</f>
        <v>0</v>
      </c>
      <c r="D11" s="19" t="e">
        <f t="shared" si="0"/>
        <v>#DIV/0!</v>
      </c>
      <c r="F11" s="17" t="s">
        <v>8</v>
      </c>
      <c r="G11" s="18">
        <f>SUMIFS(FinanceData[COST (Enter manually here)],FinanceData[Month],$B$2,FinanceData[Subcategory],"Insurance")</f>
        <v>0</v>
      </c>
      <c r="H11" s="19" t="e">
        <f t="shared" si="1"/>
        <v>#DIV/0!</v>
      </c>
      <c r="I11">
        <v>8</v>
      </c>
    </row>
    <row r="12" spans="2:11" x14ac:dyDescent="0.3">
      <c r="B12" s="17" t="s">
        <v>9</v>
      </c>
      <c r="C12" s="18">
        <f>SUMIFS(FinanceData[COST (Enter manually here)],FinanceData[Month],$B$2,FinanceData[Subcategory],"Internet")</f>
        <v>0</v>
      </c>
      <c r="D12" s="19" t="e">
        <f t="shared" si="0"/>
        <v>#DIV/0!</v>
      </c>
      <c r="F12" s="17" t="s">
        <v>9</v>
      </c>
      <c r="G12" s="18">
        <f>SUMIFS(FinanceData[COST (Enter manually here)],FinanceData[Month],$B$2,FinanceData[Subcategory],"Internet")</f>
        <v>0</v>
      </c>
      <c r="H12" s="19" t="e">
        <f t="shared" si="1"/>
        <v>#DIV/0!</v>
      </c>
      <c r="I12">
        <v>9</v>
      </c>
    </row>
    <row r="13" spans="2:11" x14ac:dyDescent="0.3">
      <c r="B13" s="17" t="s">
        <v>10</v>
      </c>
      <c r="C13" s="18">
        <f>SUMIFS(FinanceData[COST (Enter manually here)],FinanceData[Month],$B$2,FinanceData[Subcategory],"TV Subscriptions")</f>
        <v>0</v>
      </c>
      <c r="D13" s="19" t="e">
        <f t="shared" si="0"/>
        <v>#DIV/0!</v>
      </c>
      <c r="F13" s="17" t="s">
        <v>10</v>
      </c>
      <c r="G13" s="18">
        <f>SUMIFS(FinanceData[COST (Enter manually here)],FinanceData[Month],$B$2,FinanceData[Subcategory],"TV Subscriptions")</f>
        <v>0</v>
      </c>
      <c r="H13" s="19" t="e">
        <f t="shared" si="1"/>
        <v>#DIV/0!</v>
      </c>
      <c r="I13">
        <v>10</v>
      </c>
    </row>
    <row r="14" spans="2:11" x14ac:dyDescent="0.3">
      <c r="B14" s="17" t="s">
        <v>19</v>
      </c>
      <c r="C14" s="18">
        <f>SUMIFS(FinanceData[COST (Enter manually here)],FinanceData[Month],$B$2,FinanceData[Subcategory],"iPhone")</f>
        <v>0</v>
      </c>
      <c r="D14" s="19" t="e">
        <f t="shared" si="0"/>
        <v>#DIV/0!</v>
      </c>
      <c r="F14" s="17" t="s">
        <v>19</v>
      </c>
      <c r="G14" s="18">
        <f>SUMIFS(FinanceData[COST (Enter manually here)],FinanceData[Month],$B$2,FinanceData[Subcategory],"iPhone")</f>
        <v>0</v>
      </c>
      <c r="H14" s="19" t="e">
        <f t="shared" si="1"/>
        <v>#DIV/0!</v>
      </c>
      <c r="I14">
        <v>11</v>
      </c>
    </row>
    <row r="15" spans="2:11" x14ac:dyDescent="0.3">
      <c r="B15" s="17" t="s">
        <v>11</v>
      </c>
      <c r="C15" s="18">
        <f>SUMIFS(FinanceData[COST (Enter manually here)],FinanceData[Month],$B$2,FinanceData[Subcategory],"Furniture")</f>
        <v>0</v>
      </c>
      <c r="D15" s="19" t="e">
        <f t="shared" si="0"/>
        <v>#DIV/0!</v>
      </c>
      <c r="F15" s="17" t="s">
        <v>11</v>
      </c>
      <c r="G15" s="18">
        <f>SUMIFS(FinanceData[COST (Enter manually here)],FinanceData[Month],$B$2,FinanceData[Subcategory],"Furniture")</f>
        <v>0</v>
      </c>
      <c r="H15" s="19" t="e">
        <f t="shared" si="1"/>
        <v>#DIV/0!</v>
      </c>
      <c r="I15">
        <v>12</v>
      </c>
    </row>
    <row r="16" spans="2:11" x14ac:dyDescent="0.3">
      <c r="B16" s="17" t="s">
        <v>61</v>
      </c>
      <c r="C16" s="18">
        <f>SUMIFS(FinanceData[COST (Enter manually here)],FinanceData[Month],$B$2,FinanceData[Subcategory],"Clothing")</f>
        <v>0</v>
      </c>
      <c r="D16" s="19" t="e">
        <f t="shared" si="0"/>
        <v>#DIV/0!</v>
      </c>
      <c r="F16" s="17" t="s">
        <v>61</v>
      </c>
      <c r="G16" s="18">
        <f>SUMIFS(FinanceData[COST (Enter manually here)],FinanceData[Month],$B$2,FinanceData[Subcategory],"Clothing")</f>
        <v>0</v>
      </c>
      <c r="H16" s="19" t="e">
        <f t="shared" si="1"/>
        <v>#DIV/0!</v>
      </c>
      <c r="I16">
        <v>13</v>
      </c>
    </row>
    <row r="17" spans="2:9" ht="15" thickBot="1" x14ac:dyDescent="0.35">
      <c r="B17" s="17" t="s">
        <v>56</v>
      </c>
      <c r="C17" s="18">
        <f>SUMIFS(FinanceData[COST (Enter manually here)],FinanceData[Month],$B$2,FinanceData[Subcategory],"Other Housing")</f>
        <v>0</v>
      </c>
      <c r="D17" s="19" t="e">
        <f t="shared" si="0"/>
        <v>#DIV/0!</v>
      </c>
      <c r="F17" s="17" t="s">
        <v>56</v>
      </c>
      <c r="G17" s="18">
        <f>SUMIFS(FinanceData[COST (Enter manually here)],FinanceData[Month],$B$2,FinanceData[Subcategory],"Other Housing")</f>
        <v>0</v>
      </c>
      <c r="H17" s="19" t="e">
        <f t="shared" si="1"/>
        <v>#DIV/0!</v>
      </c>
      <c r="I17">
        <v>14</v>
      </c>
    </row>
    <row r="18" spans="2:9" ht="15" thickBot="1" x14ac:dyDescent="0.35">
      <c r="B18" s="4" t="s">
        <v>12</v>
      </c>
      <c r="C18" s="21"/>
      <c r="D18" s="20" t="e">
        <f>#REF!/$C$5*100</f>
        <v>#REF!</v>
      </c>
      <c r="F18" s="4" t="s">
        <v>12</v>
      </c>
      <c r="G18" s="21"/>
      <c r="H18" s="20" t="e">
        <f>#REF!/$C$5*100</f>
        <v>#REF!</v>
      </c>
      <c r="I18">
        <v>15</v>
      </c>
    </row>
    <row r="19" spans="2:9" x14ac:dyDescent="0.3">
      <c r="B19" s="17" t="s">
        <v>13</v>
      </c>
      <c r="C19" s="18">
        <f>SUMIFS(FinanceData[COST (Enter manually here)],FinanceData[Month],$B$2,FinanceData[Subcategory],"Car Payment")</f>
        <v>0</v>
      </c>
      <c r="D19" s="19" t="e">
        <f>C19/$C$5*100</f>
        <v>#DIV/0!</v>
      </c>
      <c r="F19" s="17" t="s">
        <v>13</v>
      </c>
      <c r="G19" s="18">
        <f>SUMIFS(FinanceData[COST (Enter manually here)],FinanceData[Month],$B$2,FinanceData[Subcategory],"Car Payment")</f>
        <v>0</v>
      </c>
      <c r="H19" s="19" t="e">
        <f>G19/$C$5*100</f>
        <v>#DIV/0!</v>
      </c>
      <c r="I19">
        <v>16</v>
      </c>
    </row>
    <row r="20" spans="2:9" x14ac:dyDescent="0.3">
      <c r="B20" s="17" t="s">
        <v>14</v>
      </c>
      <c r="C20" s="18">
        <f>SUMIFS(FinanceData[COST (Enter manually here)],FinanceData[Month],$B$2,FinanceData[Subcategory],"Car Insurance")</f>
        <v>0</v>
      </c>
      <c r="D20" s="19" t="e">
        <f t="shared" ref="D20:D33" si="2">C20/$C$5*100</f>
        <v>#DIV/0!</v>
      </c>
      <c r="F20" s="17" t="s">
        <v>14</v>
      </c>
      <c r="G20" s="18">
        <f>SUMIFS(FinanceData[COST (Enter manually here)],FinanceData[Month],$B$2,FinanceData[Subcategory],"Car Insurance")</f>
        <v>0</v>
      </c>
      <c r="H20" s="19" t="e">
        <f t="shared" ref="H20:H33" si="3">G20/$C$5*100</f>
        <v>#DIV/0!</v>
      </c>
      <c r="I20">
        <v>17</v>
      </c>
    </row>
    <row r="21" spans="2:9" x14ac:dyDescent="0.3">
      <c r="B21" s="17" t="s">
        <v>15</v>
      </c>
      <c r="C21" s="18">
        <f>SUMIFS(FinanceData[COST (Enter manually here)],FinanceData[Month],$B$2,FinanceData[Subcategory],"Gas")</f>
        <v>0</v>
      </c>
      <c r="D21" s="19" t="e">
        <f t="shared" si="2"/>
        <v>#DIV/0!</v>
      </c>
      <c r="F21" s="17" t="s">
        <v>15</v>
      </c>
      <c r="G21" s="18">
        <f>SUMIFS(FinanceData[COST (Enter manually here)],FinanceData[Month],$B$2,FinanceData[Subcategory],"Gas")</f>
        <v>0</v>
      </c>
      <c r="H21" s="19" t="e">
        <f t="shared" si="3"/>
        <v>#DIV/0!</v>
      </c>
    </row>
    <row r="22" spans="2:9" x14ac:dyDescent="0.3">
      <c r="B22" s="17" t="s">
        <v>16</v>
      </c>
      <c r="C22" s="18">
        <f>SUMIFS(FinanceData[COST (Enter manually here)],FinanceData[Month],$B$2,FinanceData[Subcategory],"Maintenance")</f>
        <v>0</v>
      </c>
      <c r="D22" s="19" t="e">
        <f t="shared" si="2"/>
        <v>#DIV/0!</v>
      </c>
      <c r="F22" s="17" t="s">
        <v>16</v>
      </c>
      <c r="G22" s="18">
        <f>SUMIFS(FinanceData[COST (Enter manually here)],FinanceData[Month],$B$2,FinanceData[Subcategory],"Maintenance")</f>
        <v>0</v>
      </c>
      <c r="H22" s="19" t="e">
        <f t="shared" si="3"/>
        <v>#DIV/0!</v>
      </c>
    </row>
    <row r="23" spans="2:9" ht="15" thickBot="1" x14ac:dyDescent="0.35">
      <c r="B23" s="17" t="s">
        <v>55</v>
      </c>
      <c r="C23" s="18">
        <f>SUMIFS(FinanceData[COST (Enter manually here)],FinanceData[Month],$B$2,FinanceData[Subcategory],"Other Transportation")</f>
        <v>0</v>
      </c>
      <c r="D23" s="19" t="e">
        <f t="shared" si="2"/>
        <v>#DIV/0!</v>
      </c>
      <c r="F23" s="17" t="s">
        <v>55</v>
      </c>
      <c r="G23" s="18">
        <f>SUMIFS(FinanceData[COST (Enter manually here)],FinanceData[Month],$B$2,FinanceData[Subcategory],"Other Transportation")</f>
        <v>0</v>
      </c>
      <c r="H23" s="19" t="e">
        <f t="shared" si="3"/>
        <v>#DIV/0!</v>
      </c>
    </row>
    <row r="24" spans="2:9" ht="15" thickBot="1" x14ac:dyDescent="0.35">
      <c r="B24" s="4" t="s">
        <v>17</v>
      </c>
      <c r="C24" s="21"/>
      <c r="D24" s="20" t="e">
        <f t="shared" si="2"/>
        <v>#DIV/0!</v>
      </c>
      <c r="F24" s="4" t="s">
        <v>17</v>
      </c>
      <c r="G24" s="21"/>
      <c r="H24" s="20" t="e">
        <f t="shared" si="3"/>
        <v>#DIV/0!</v>
      </c>
    </row>
    <row r="25" spans="2:9" x14ac:dyDescent="0.3">
      <c r="B25" s="17" t="s">
        <v>18</v>
      </c>
      <c r="C25" s="18">
        <f>SUMIFS(FinanceData[COST (Enter manually here)],FinanceData[Month],$B$2,FinanceData[Subcategory],"Groceries")</f>
        <v>0</v>
      </c>
      <c r="D25" s="19" t="e">
        <f t="shared" si="2"/>
        <v>#DIV/0!</v>
      </c>
      <c r="F25" s="17" t="s">
        <v>18</v>
      </c>
      <c r="G25" s="18">
        <f>SUMIFS(FinanceData[COST (Enter manually here)],FinanceData[Month],$B$2,FinanceData[Subcategory],"Groceries")</f>
        <v>0</v>
      </c>
      <c r="H25" s="19" t="e">
        <f t="shared" si="3"/>
        <v>#DIV/0!</v>
      </c>
    </row>
    <row r="26" spans="2:9" x14ac:dyDescent="0.3">
      <c r="B26" s="17" t="s">
        <v>21</v>
      </c>
      <c r="C26" s="18">
        <f>SUMIFS(FinanceData[COST (Enter manually here)],FinanceData[Month],$B$2,FinanceData[Subcategory],"Eating Out")</f>
        <v>0</v>
      </c>
      <c r="D26" s="19" t="e">
        <f t="shared" si="2"/>
        <v>#DIV/0!</v>
      </c>
      <c r="F26" s="17" t="s">
        <v>21</v>
      </c>
      <c r="G26" s="18">
        <f>SUMIFS(FinanceData[COST (Enter manually here)],FinanceData[Month],$B$2,FinanceData[Subcategory],"Eating Out")</f>
        <v>0</v>
      </c>
      <c r="H26" s="19" t="e">
        <f t="shared" si="3"/>
        <v>#DIV/0!</v>
      </c>
    </row>
    <row r="27" spans="2:9" ht="15" thickBot="1" x14ac:dyDescent="0.35">
      <c r="B27" s="17" t="s">
        <v>57</v>
      </c>
      <c r="C27" s="18">
        <f>SUMIFS(FinanceData[COST (Enter manually here)],FinanceData[Month],$B$2,FinanceData[Subcategory],"Other Food")</f>
        <v>0</v>
      </c>
      <c r="D27" s="19" t="e">
        <f>C27/$C$5*100</f>
        <v>#DIV/0!</v>
      </c>
      <c r="F27" s="17" t="s">
        <v>57</v>
      </c>
      <c r="G27" s="18">
        <f>SUMIFS(FinanceData[COST (Enter manually here)],FinanceData[Month],$B$2,FinanceData[Subcategory],"Other Food")</f>
        <v>0</v>
      </c>
      <c r="H27" s="19" t="e">
        <f>G27/$C$5*100</f>
        <v>#DIV/0!</v>
      </c>
    </row>
    <row r="28" spans="2:9" ht="15" thickBot="1" x14ac:dyDescent="0.35">
      <c r="B28" s="4" t="s">
        <v>22</v>
      </c>
      <c r="C28" s="21"/>
      <c r="D28" s="20" t="e">
        <f t="shared" si="2"/>
        <v>#DIV/0!</v>
      </c>
      <c r="F28" s="4" t="s">
        <v>22</v>
      </c>
      <c r="G28" s="21"/>
      <c r="H28" s="20" t="e">
        <f t="shared" si="3"/>
        <v>#DIV/0!</v>
      </c>
    </row>
    <row r="29" spans="2:9" x14ac:dyDescent="0.3">
      <c r="B29" s="17" t="s">
        <v>23</v>
      </c>
      <c r="C29" s="18">
        <f>SUMIFS(FinanceData[COST (Enter manually here)],FinanceData[Month],$B$2,FinanceData[Subcategory],"Cow Loan")</f>
        <v>0</v>
      </c>
      <c r="D29" s="19" t="e">
        <f t="shared" si="2"/>
        <v>#DIV/0!</v>
      </c>
      <c r="F29" s="17" t="s">
        <v>23</v>
      </c>
      <c r="G29" s="18">
        <f>SUMIFS(FinanceData[COST (Enter manually here)],FinanceData[Month],$B$2,FinanceData[Subcategory],"Cow Loan")</f>
        <v>0</v>
      </c>
      <c r="H29" s="19" t="e">
        <f t="shared" si="3"/>
        <v>#DIV/0!</v>
      </c>
    </row>
    <row r="30" spans="2:9" x14ac:dyDescent="0.3">
      <c r="B30" s="17" t="s">
        <v>24</v>
      </c>
      <c r="C30" s="18">
        <f>SUMIFS(FinanceData[COST (Enter manually here)],FinanceData[Month],$B$2,FinanceData[Subcategory],"Roth IRA")</f>
        <v>0</v>
      </c>
      <c r="D30" s="19" t="e">
        <f t="shared" si="2"/>
        <v>#DIV/0!</v>
      </c>
      <c r="F30" s="17" t="s">
        <v>24</v>
      </c>
      <c r="G30" s="18">
        <f>SUMIFS(FinanceData[COST (Enter manually here)],FinanceData[Month],$B$2,FinanceData[Subcategory],"Roth IRA")</f>
        <v>0</v>
      </c>
      <c r="H30" s="19" t="e">
        <f t="shared" si="3"/>
        <v>#DIV/0!</v>
      </c>
    </row>
    <row r="31" spans="2:9" x14ac:dyDescent="0.3">
      <c r="B31" s="17" t="s">
        <v>25</v>
      </c>
      <c r="C31" s="18">
        <f>SUMIFS(FinanceData[COST (Enter manually here)],FinanceData[Month],$B$2,FinanceData[Subcategory],"Charles Schwab")</f>
        <v>0</v>
      </c>
      <c r="D31" s="19" t="e">
        <f t="shared" si="2"/>
        <v>#DIV/0!</v>
      </c>
      <c r="F31" s="17" t="s">
        <v>25</v>
      </c>
      <c r="G31" s="18">
        <f>SUMIFS(FinanceData[COST (Enter manually here)],FinanceData[Month],$B$2,FinanceData[Subcategory],"Charles Schwab")</f>
        <v>0</v>
      </c>
      <c r="H31" s="19" t="e">
        <f t="shared" si="3"/>
        <v>#DIV/0!</v>
      </c>
    </row>
    <row r="32" spans="2:9" ht="15" thickBot="1" x14ac:dyDescent="0.35">
      <c r="B32" s="17" t="s">
        <v>59</v>
      </c>
      <c r="C32" s="18">
        <f>SUMIFS(FinanceData[COST (Enter manually here)],FinanceData[Month],$B$2,FinanceData[Subcategory],"Other Misc Costs")</f>
        <v>0</v>
      </c>
      <c r="D32" s="19" t="e">
        <f t="shared" si="2"/>
        <v>#DIV/0!</v>
      </c>
      <c r="F32" s="17" t="s">
        <v>59</v>
      </c>
      <c r="G32" s="18">
        <f>SUMIFS(FinanceData[COST (Enter manually here)],FinanceData[Month],$B$2,FinanceData[Subcategory],"Other Misc Costs")</f>
        <v>0</v>
      </c>
      <c r="H32" s="19" t="e">
        <f t="shared" si="3"/>
        <v>#DIV/0!</v>
      </c>
    </row>
    <row r="33" spans="2:8" ht="15" thickBot="1" x14ac:dyDescent="0.35">
      <c r="B33" s="9" t="s">
        <v>26</v>
      </c>
      <c r="C33" s="10">
        <f>SUM(C8:C31)</f>
        <v>0</v>
      </c>
      <c r="D33" s="22" t="e">
        <f t="shared" si="2"/>
        <v>#DIV/0!</v>
      </c>
      <c r="F33" s="9" t="s">
        <v>26</v>
      </c>
      <c r="G33" s="10">
        <f>SUM(G8:G31)</f>
        <v>0</v>
      </c>
      <c r="H33" s="22" t="e">
        <f t="shared" si="3"/>
        <v>#DIV/0!</v>
      </c>
    </row>
    <row r="34" spans="2:8" ht="15" thickBot="1" x14ac:dyDescent="0.35">
      <c r="B34" s="11" t="s">
        <v>27</v>
      </c>
      <c r="C34" s="12">
        <f>C5-C33</f>
        <v>0</v>
      </c>
      <c r="D34" s="23" t="e">
        <f>100-D33</f>
        <v>#DIV/0!</v>
      </c>
      <c r="F34" s="11" t="s">
        <v>27</v>
      </c>
      <c r="G34" s="12">
        <f>G5-G33</f>
        <v>0</v>
      </c>
      <c r="H34" s="23" t="e">
        <f>100-H33</f>
        <v>#DIV/0!</v>
      </c>
    </row>
  </sheetData>
  <mergeCells count="4">
    <mergeCell ref="B1:D1"/>
    <mergeCell ref="F1:H1"/>
    <mergeCell ref="F2:H2"/>
    <mergeCell ref="B2:D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713B74D-7299-4A15-8210-A73914204BCA}">
          <x14:formula1>
            <xm:f>'MASTER DATA'!$M$7:$M$18</xm:f>
          </x14:formula1>
          <xm:sqref>C42</xm:sqref>
        </x14:dataValidation>
        <x14:dataValidation type="list" allowBlank="1" showInputMessage="1" showErrorMessage="1" xr:uid="{85985A48-3E22-4808-AD86-ACC2154585C8}">
          <x14:formula1>
            <xm:f>'MASTER DATA'!$M$6:$M$18</xm:f>
          </x14:formula1>
          <xm:sqref>B2:D2 F2:H2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E020-660B-49B4-ADD7-1189F93A2FC7}">
  <dimension ref="A1:O51"/>
  <sheetViews>
    <sheetView zoomScale="66" zoomScaleNormal="40" workbookViewId="0">
      <selection activeCell="H12" sqref="H12"/>
    </sheetView>
  </sheetViews>
  <sheetFormatPr defaultRowHeight="14.4" x14ac:dyDescent="0.3"/>
  <cols>
    <col min="1" max="1" width="20" customWidth="1"/>
    <col min="2" max="2" width="28.6640625" customWidth="1"/>
    <col min="3" max="3" width="31.21875" customWidth="1"/>
    <col min="4" max="4" width="34.44140625" customWidth="1"/>
    <col min="5" max="5" width="48.6640625" customWidth="1"/>
    <col min="6" max="6" width="13" customWidth="1"/>
    <col min="7" max="7" width="14.33203125" customWidth="1"/>
    <col min="8" max="8" width="30" customWidth="1"/>
    <col min="9" max="9" width="20.44140625" customWidth="1"/>
    <col min="10" max="10" width="24.77734375" customWidth="1"/>
    <col min="11" max="11" width="28.5546875" customWidth="1"/>
    <col min="13" max="13" width="16.6640625" customWidth="1"/>
    <col min="14" max="14" width="22" customWidth="1"/>
    <col min="15" max="15" width="17.77734375" customWidth="1"/>
  </cols>
  <sheetData>
    <row r="1" spans="1:15" ht="15" thickBot="1" x14ac:dyDescent="0.35"/>
    <row r="2" spans="1:15" ht="28.8" customHeight="1" x14ac:dyDescent="0.3">
      <c r="A2" s="48" t="s">
        <v>39</v>
      </c>
      <c r="B2" s="49" t="s">
        <v>40</v>
      </c>
      <c r="C2" s="49" t="s">
        <v>41</v>
      </c>
      <c r="D2" s="50" t="s">
        <v>58</v>
      </c>
      <c r="E2" s="50" t="s">
        <v>50</v>
      </c>
      <c r="N2" s="60" t="s">
        <v>62</v>
      </c>
      <c r="O2" s="61"/>
    </row>
    <row r="3" spans="1:15" x14ac:dyDescent="0.3">
      <c r="A3" s="31"/>
      <c r="B3" s="32" t="s">
        <v>42</v>
      </c>
      <c r="C3" s="32" t="s">
        <v>46</v>
      </c>
      <c r="D3" s="33"/>
      <c r="E3" s="43">
        <v>2000</v>
      </c>
      <c r="F3" s="52"/>
      <c r="N3" s="62"/>
      <c r="O3" s="63"/>
    </row>
    <row r="4" spans="1:15" ht="15" thickBot="1" x14ac:dyDescent="0.35">
      <c r="A4" s="31"/>
      <c r="B4" s="32" t="s">
        <v>42</v>
      </c>
      <c r="C4" s="32" t="s">
        <v>51</v>
      </c>
      <c r="D4" s="33"/>
      <c r="E4" s="43">
        <v>1000</v>
      </c>
      <c r="F4" s="52"/>
      <c r="N4" s="64"/>
      <c r="O4" s="65"/>
    </row>
    <row r="5" spans="1:15" ht="15" thickBot="1" x14ac:dyDescent="0.35">
      <c r="A5" s="31"/>
      <c r="B5" s="29" t="s">
        <v>42</v>
      </c>
      <c r="C5" s="29" t="s">
        <v>47</v>
      </c>
      <c r="D5" s="44"/>
      <c r="E5" s="30">
        <v>2000</v>
      </c>
      <c r="F5" s="52"/>
      <c r="N5" s="47" t="s">
        <v>40</v>
      </c>
      <c r="O5" s="47" t="s">
        <v>41</v>
      </c>
    </row>
    <row r="6" spans="1:15" x14ac:dyDescent="0.3">
      <c r="A6" s="31"/>
      <c r="B6" s="29" t="s">
        <v>42</v>
      </c>
      <c r="C6" s="29" t="s">
        <v>52</v>
      </c>
      <c r="D6" s="44"/>
      <c r="E6" s="30">
        <v>1050</v>
      </c>
      <c r="F6" s="52"/>
      <c r="N6" s="25" t="s">
        <v>3</v>
      </c>
      <c r="O6" s="25" t="s">
        <v>46</v>
      </c>
    </row>
    <row r="7" spans="1:15" x14ac:dyDescent="0.3">
      <c r="A7" s="31"/>
      <c r="B7" s="29" t="s">
        <v>3</v>
      </c>
      <c r="C7" s="29" t="s">
        <v>5</v>
      </c>
      <c r="D7" s="38"/>
      <c r="E7" s="30">
        <v>645</v>
      </c>
      <c r="F7" s="52"/>
      <c r="M7" t="s">
        <v>1</v>
      </c>
      <c r="N7" s="26" t="s">
        <v>12</v>
      </c>
      <c r="O7" s="26" t="s">
        <v>47</v>
      </c>
    </row>
    <row r="8" spans="1:15" x14ac:dyDescent="0.3">
      <c r="A8" s="31"/>
      <c r="B8" s="29" t="s">
        <v>12</v>
      </c>
      <c r="C8" s="29" t="s">
        <v>14</v>
      </c>
      <c r="D8" s="38"/>
      <c r="E8" s="30">
        <v>150</v>
      </c>
      <c r="F8" s="52"/>
      <c r="G8" s="51"/>
      <c r="M8" t="s">
        <v>28</v>
      </c>
      <c r="N8" s="26" t="s">
        <v>17</v>
      </c>
      <c r="O8" s="26" t="s">
        <v>51</v>
      </c>
    </row>
    <row r="9" spans="1:15" ht="15" thickBot="1" x14ac:dyDescent="0.35">
      <c r="A9" s="31"/>
      <c r="B9" s="29" t="s">
        <v>12</v>
      </c>
      <c r="C9" s="29" t="s">
        <v>15</v>
      </c>
      <c r="D9" s="38"/>
      <c r="E9" s="30">
        <v>200</v>
      </c>
      <c r="F9" s="52"/>
      <c r="M9" t="s">
        <v>29</v>
      </c>
      <c r="N9" s="26" t="s">
        <v>22</v>
      </c>
      <c r="O9" s="27" t="s">
        <v>52</v>
      </c>
    </row>
    <row r="10" spans="1:15" x14ac:dyDescent="0.3">
      <c r="A10" s="31"/>
      <c r="B10" s="29" t="s">
        <v>22</v>
      </c>
      <c r="C10" s="29" t="s">
        <v>49</v>
      </c>
      <c r="D10" s="38"/>
      <c r="E10" s="30">
        <v>630</v>
      </c>
      <c r="F10" s="52"/>
      <c r="M10" t="s">
        <v>30</v>
      </c>
      <c r="N10" s="26" t="s">
        <v>42</v>
      </c>
      <c r="O10" s="25" t="s">
        <v>5</v>
      </c>
    </row>
    <row r="11" spans="1:15" ht="15" thickBot="1" x14ac:dyDescent="0.35">
      <c r="A11" s="31"/>
      <c r="B11" s="34" t="s">
        <v>22</v>
      </c>
      <c r="C11" s="34" t="s">
        <v>24</v>
      </c>
      <c r="D11" s="45"/>
      <c r="E11" s="35">
        <f>7500/12</f>
        <v>625</v>
      </c>
      <c r="F11" s="52"/>
      <c r="M11" t="s">
        <v>31</v>
      </c>
      <c r="N11" s="27" t="s">
        <v>60</v>
      </c>
      <c r="O11" s="26" t="s">
        <v>4</v>
      </c>
    </row>
    <row r="12" spans="1:15" x14ac:dyDescent="0.3">
      <c r="A12" s="31"/>
      <c r="B12" s="36" t="s">
        <v>22</v>
      </c>
      <c r="C12" s="36" t="s">
        <v>25</v>
      </c>
      <c r="D12" s="46"/>
      <c r="E12" s="37">
        <v>500</v>
      </c>
      <c r="F12" s="52"/>
      <c r="M12" t="s">
        <v>32</v>
      </c>
      <c r="O12" s="26" t="s">
        <v>6</v>
      </c>
    </row>
    <row r="13" spans="1:15" x14ac:dyDescent="0.3">
      <c r="A13" s="31"/>
      <c r="B13" s="36"/>
      <c r="C13" s="36"/>
      <c r="D13" s="39"/>
      <c r="E13" s="37"/>
      <c r="F13" s="24"/>
      <c r="M13" t="s">
        <v>33</v>
      </c>
      <c r="O13" s="26" t="s">
        <v>7</v>
      </c>
    </row>
    <row r="14" spans="1:15" x14ac:dyDescent="0.3">
      <c r="A14" s="31"/>
      <c r="B14" s="40"/>
      <c r="C14" s="40"/>
      <c r="D14" s="41"/>
      <c r="E14" s="42"/>
      <c r="M14" t="s">
        <v>34</v>
      </c>
      <c r="O14" s="26" t="s">
        <v>8</v>
      </c>
    </row>
    <row r="15" spans="1:15" x14ac:dyDescent="0.3">
      <c r="A15" s="31"/>
      <c r="B15" s="36"/>
      <c r="C15" s="36"/>
      <c r="D15" s="39"/>
      <c r="E15" s="37"/>
      <c r="J15" s="28"/>
      <c r="M15" t="s">
        <v>35</v>
      </c>
      <c r="O15" s="26" t="s">
        <v>9</v>
      </c>
    </row>
    <row r="16" spans="1:15" x14ac:dyDescent="0.3">
      <c r="A16" s="31"/>
      <c r="B16" s="36"/>
      <c r="C16" s="36"/>
      <c r="D16" s="39"/>
      <c r="E16" s="37"/>
      <c r="M16" t="s">
        <v>36</v>
      </c>
      <c r="O16" s="26" t="s">
        <v>10</v>
      </c>
    </row>
    <row r="17" spans="1:15" x14ac:dyDescent="0.3">
      <c r="A17" s="31"/>
      <c r="B17" s="36"/>
      <c r="C17" s="36"/>
      <c r="D17" s="39"/>
      <c r="E17" s="37"/>
      <c r="M17" t="s">
        <v>37</v>
      </c>
      <c r="O17" s="26" t="s">
        <v>19</v>
      </c>
    </row>
    <row r="18" spans="1:15" x14ac:dyDescent="0.3">
      <c r="A18" s="31"/>
      <c r="B18" s="36"/>
      <c r="C18" s="36"/>
      <c r="D18" s="39"/>
      <c r="E18" s="37"/>
      <c r="M18" t="s">
        <v>38</v>
      </c>
      <c r="O18" s="26" t="s">
        <v>11</v>
      </c>
    </row>
    <row r="19" spans="1:15" x14ac:dyDescent="0.3">
      <c r="A19" s="31"/>
      <c r="B19" s="36"/>
      <c r="C19" s="36"/>
      <c r="D19" s="39"/>
      <c r="E19" s="37"/>
      <c r="O19" s="26" t="s">
        <v>61</v>
      </c>
    </row>
    <row r="20" spans="1:15" ht="15" thickBot="1" x14ac:dyDescent="0.35">
      <c r="A20" s="31"/>
      <c r="B20" s="36"/>
      <c r="C20" s="36"/>
      <c r="D20" s="39"/>
      <c r="E20" s="37"/>
      <c r="O20" s="27" t="s">
        <v>56</v>
      </c>
    </row>
    <row r="21" spans="1:15" x14ac:dyDescent="0.3">
      <c r="A21" s="31"/>
      <c r="B21" s="36"/>
      <c r="C21" s="36"/>
      <c r="D21" s="39"/>
      <c r="E21" s="37"/>
      <c r="O21" s="26" t="s">
        <v>13</v>
      </c>
    </row>
    <row r="22" spans="1:15" x14ac:dyDescent="0.3">
      <c r="A22" s="31"/>
      <c r="B22" s="36"/>
      <c r="C22" s="36"/>
      <c r="D22" s="39"/>
      <c r="E22" s="37"/>
      <c r="O22" s="26" t="s">
        <v>14</v>
      </c>
    </row>
    <row r="23" spans="1:15" x14ac:dyDescent="0.3">
      <c r="A23" s="31"/>
      <c r="B23" s="36"/>
      <c r="C23" s="36"/>
      <c r="D23" s="39"/>
      <c r="E23" s="37"/>
      <c r="O23" s="26" t="s">
        <v>15</v>
      </c>
    </row>
    <row r="24" spans="1:15" x14ac:dyDescent="0.3">
      <c r="A24" s="31"/>
      <c r="B24" s="36"/>
      <c r="C24" s="36"/>
      <c r="D24" s="39"/>
      <c r="E24" s="37"/>
      <c r="O24" s="26" t="s">
        <v>16</v>
      </c>
    </row>
    <row r="25" spans="1:15" ht="15" thickBot="1" x14ac:dyDescent="0.35">
      <c r="A25" s="31"/>
      <c r="B25" s="36"/>
      <c r="C25" s="36"/>
      <c r="D25" s="39"/>
      <c r="E25" s="37"/>
      <c r="O25" s="27" t="s">
        <v>55</v>
      </c>
    </row>
    <row r="26" spans="1:15" x14ac:dyDescent="0.3">
      <c r="A26" s="31"/>
      <c r="B26" s="36"/>
      <c r="C26" s="36"/>
      <c r="D26" s="39"/>
      <c r="E26" s="37"/>
      <c r="O26" s="25" t="s">
        <v>18</v>
      </c>
    </row>
    <row r="27" spans="1:15" x14ac:dyDescent="0.3">
      <c r="A27" s="31"/>
      <c r="B27" s="36"/>
      <c r="C27" s="36"/>
      <c r="D27" s="39"/>
      <c r="E27" s="37"/>
      <c r="O27" s="26" t="s">
        <v>48</v>
      </c>
    </row>
    <row r="28" spans="1:15" ht="15" thickBot="1" x14ac:dyDescent="0.35">
      <c r="A28" s="31"/>
      <c r="B28" s="36"/>
      <c r="C28" s="36"/>
      <c r="D28" s="39"/>
      <c r="E28" s="37"/>
      <c r="O28" s="27" t="s">
        <v>57</v>
      </c>
    </row>
    <row r="29" spans="1:15" x14ac:dyDescent="0.3">
      <c r="A29" s="31"/>
      <c r="B29" s="36"/>
      <c r="C29" s="36"/>
      <c r="D29" s="39"/>
      <c r="E29" s="37"/>
      <c r="O29" s="25" t="s">
        <v>49</v>
      </c>
    </row>
    <row r="30" spans="1:15" x14ac:dyDescent="0.3">
      <c r="A30" s="31"/>
      <c r="B30" s="36"/>
      <c r="C30" s="36"/>
      <c r="D30" s="39"/>
      <c r="E30" s="37"/>
      <c r="O30" s="26" t="s">
        <v>24</v>
      </c>
    </row>
    <row r="31" spans="1:15" x14ac:dyDescent="0.3">
      <c r="A31" s="31"/>
      <c r="B31" s="36"/>
      <c r="C31" s="36"/>
      <c r="D31" s="39"/>
      <c r="E31" s="37"/>
      <c r="O31" s="26" t="s">
        <v>25</v>
      </c>
    </row>
    <row r="32" spans="1:15" ht="15" thickBot="1" x14ac:dyDescent="0.35">
      <c r="A32" s="31"/>
      <c r="B32" s="36"/>
      <c r="C32" s="36"/>
      <c r="D32" s="39"/>
      <c r="E32" s="37"/>
      <c r="O32" s="27" t="s">
        <v>59</v>
      </c>
    </row>
    <row r="33" spans="1:5" x14ac:dyDescent="0.3">
      <c r="A33" s="31"/>
      <c r="B33" s="36"/>
      <c r="C33" s="36"/>
      <c r="D33" s="39"/>
      <c r="E33" s="37"/>
    </row>
    <row r="34" spans="1:5" x14ac:dyDescent="0.3">
      <c r="A34" s="31"/>
      <c r="B34" s="36"/>
      <c r="C34" s="36"/>
      <c r="D34" s="39"/>
      <c r="E34" s="37"/>
    </row>
    <row r="35" spans="1:5" x14ac:dyDescent="0.3">
      <c r="A35" s="31"/>
      <c r="B35" s="36"/>
      <c r="C35" s="36"/>
      <c r="D35" s="39"/>
      <c r="E35" s="37"/>
    </row>
    <row r="36" spans="1:5" x14ac:dyDescent="0.3">
      <c r="A36" s="31"/>
      <c r="B36" s="36"/>
      <c r="C36" s="36"/>
      <c r="D36" s="39"/>
      <c r="E36" s="37"/>
    </row>
    <row r="37" spans="1:5" x14ac:dyDescent="0.3">
      <c r="A37" s="31"/>
      <c r="B37" s="36"/>
      <c r="C37" s="36"/>
      <c r="D37" s="39"/>
      <c r="E37" s="37"/>
    </row>
    <row r="38" spans="1:5" x14ac:dyDescent="0.3">
      <c r="A38" s="31"/>
      <c r="B38" s="36"/>
      <c r="C38" s="36"/>
      <c r="D38" s="39"/>
      <c r="E38" s="37"/>
    </row>
    <row r="39" spans="1:5" x14ac:dyDescent="0.3">
      <c r="A39" s="31"/>
      <c r="B39" s="36"/>
      <c r="C39" s="36"/>
      <c r="D39" s="39"/>
      <c r="E39" s="37"/>
    </row>
    <row r="40" spans="1:5" x14ac:dyDescent="0.3">
      <c r="A40" s="31"/>
      <c r="B40" s="36"/>
      <c r="C40" s="36"/>
      <c r="D40" s="39"/>
      <c r="E40" s="37"/>
    </row>
    <row r="41" spans="1:5" x14ac:dyDescent="0.3">
      <c r="A41" s="31"/>
      <c r="B41" s="36"/>
      <c r="C41" s="36"/>
      <c r="D41" s="39"/>
      <c r="E41" s="37"/>
    </row>
    <row r="42" spans="1:5" x14ac:dyDescent="0.3">
      <c r="A42" s="31"/>
      <c r="B42" s="36"/>
      <c r="C42" s="36"/>
      <c r="D42" s="39"/>
      <c r="E42" s="37"/>
    </row>
    <row r="43" spans="1:5" x14ac:dyDescent="0.3">
      <c r="A43" s="31"/>
      <c r="B43" s="36"/>
      <c r="C43" s="36"/>
      <c r="D43" s="39"/>
      <c r="E43" s="37"/>
    </row>
    <row r="44" spans="1:5" x14ac:dyDescent="0.3">
      <c r="A44" s="31"/>
      <c r="B44" s="36"/>
      <c r="C44" s="36"/>
      <c r="D44" s="39"/>
      <c r="E44" s="37"/>
    </row>
    <row r="45" spans="1:5" x14ac:dyDescent="0.3">
      <c r="A45" s="31"/>
      <c r="B45" s="36"/>
      <c r="C45" s="36"/>
      <c r="D45" s="39"/>
      <c r="E45" s="37"/>
    </row>
    <row r="46" spans="1:5" x14ac:dyDescent="0.3">
      <c r="A46" s="31"/>
      <c r="B46" s="36"/>
      <c r="C46" s="36"/>
      <c r="D46" s="39"/>
      <c r="E46" s="37"/>
    </row>
    <row r="47" spans="1:5" x14ac:dyDescent="0.3">
      <c r="A47" s="31"/>
      <c r="B47" s="36"/>
      <c r="C47" s="36"/>
      <c r="D47" s="39"/>
      <c r="E47" s="37"/>
    </row>
    <row r="48" spans="1:5" x14ac:dyDescent="0.3">
      <c r="A48" s="31"/>
      <c r="B48" s="36"/>
      <c r="C48" s="36"/>
      <c r="D48" s="39"/>
      <c r="E48" s="37"/>
    </row>
    <row r="49" spans="1:5" x14ac:dyDescent="0.3">
      <c r="A49" s="31"/>
      <c r="B49" s="36"/>
      <c r="C49" s="36"/>
      <c r="D49" s="39"/>
      <c r="E49" s="37"/>
    </row>
    <row r="50" spans="1:5" x14ac:dyDescent="0.3">
      <c r="A50" s="31"/>
      <c r="B50" s="36"/>
      <c r="C50" s="36"/>
      <c r="D50" s="39"/>
      <c r="E50" s="37"/>
    </row>
    <row r="51" spans="1:5" x14ac:dyDescent="0.3">
      <c r="A51" s="31"/>
      <c r="B51" s="36"/>
      <c r="C51" s="36"/>
      <c r="D51" s="39"/>
      <c r="E51" s="37"/>
    </row>
  </sheetData>
  <mergeCells count="1">
    <mergeCell ref="N2:O4"/>
  </mergeCells>
  <phoneticPr fontId="5" type="noConversion"/>
  <conditionalFormatting sqref="A3:E51">
    <cfRule type="expression" dxfId="1" priority="5">
      <formula>#REF!=1</formula>
    </cfRule>
    <cfRule type="expression" dxfId="0" priority="6">
      <formula>#REF!=1</formula>
    </cfRule>
  </conditionalFormatting>
  <dataValidations count="4">
    <dataValidation type="list" allowBlank="1" showInputMessage="1" showErrorMessage="1" sqref="C3:C51" xr:uid="{140BC529-C666-4DD0-80F6-4851A83BFFA6}">
      <formula1>$O$6:$O$32</formula1>
    </dataValidation>
    <dataValidation type="list" allowBlank="1" showInputMessage="1" showErrorMessage="1" sqref="B3:B51" xr:uid="{74944489-166B-451E-80E0-D8A52C54A9B1}">
      <formula1>$N$6:$N$11</formula1>
    </dataValidation>
    <dataValidation type="list" showInputMessage="1" showErrorMessage="1" sqref="A52:A66" xr:uid="{F7EE21F2-10F6-4B8B-820D-E09CDDF63AAD}">
      <formula1>$M$7:$M$18</formula1>
    </dataValidation>
    <dataValidation type="list" showInputMessage="1" showErrorMessage="1" sqref="A3:A51" xr:uid="{58D4BE05-21A2-483F-9DA3-0F671E702153}">
      <formula1>$M$6:$M$18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Nathan W CDT 2026</dc:creator>
  <cp:lastModifiedBy>Davis, Nathan W CDT 2026</cp:lastModifiedBy>
  <dcterms:created xsi:type="dcterms:W3CDTF">2026-02-16T18:21:08Z</dcterms:created>
  <dcterms:modified xsi:type="dcterms:W3CDTF">2026-03-14T03:16:58Z</dcterms:modified>
</cp:coreProperties>
</file>